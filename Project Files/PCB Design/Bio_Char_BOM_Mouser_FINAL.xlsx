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vvha\Downloads\"/>
    </mc:Choice>
  </mc:AlternateContent>
  <xr:revisionPtr revIDLastSave="0" documentId="13_ncr:1_{11720DAE-F3F8-4D83-8691-C01D4718E2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user 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K29" i="1"/>
  <c r="L27" i="1"/>
  <c r="L25" i="1"/>
  <c r="L24" i="1"/>
  <c r="L23" i="1"/>
  <c r="L21" i="1"/>
  <c r="L20" i="1"/>
  <c r="L18" i="1"/>
  <c r="L17" i="1"/>
  <c r="L16" i="1"/>
  <c r="L14" i="1"/>
  <c r="L13" i="1"/>
  <c r="L12" i="1"/>
  <c r="L10" i="1"/>
  <c r="L9" i="1"/>
  <c r="L8" i="1"/>
  <c r="L7" i="1"/>
  <c r="L5" i="1"/>
  <c r="L4" i="1"/>
</calcChain>
</file>

<file path=xl/sharedStrings.xml><?xml version="1.0" encoding="utf-8"?>
<sst xmlns="http://schemas.openxmlformats.org/spreadsheetml/2006/main" count="184" uniqueCount="163">
  <si>
    <t>Item</t>
  </si>
  <si>
    <t>Qty</t>
  </si>
  <si>
    <t>References</t>
  </si>
  <si>
    <t>Value</t>
  </si>
  <si>
    <t>Description</t>
  </si>
  <si>
    <t>Package/Footprint</t>
  </si>
  <si>
    <t>Specifications</t>
  </si>
  <si>
    <t>Manufacturer</t>
  </si>
  <si>
    <t>MPN</t>
  </si>
  <si>
    <t>Mouser PN</t>
  </si>
  <si>
    <t>Unit Price</t>
  </si>
  <si>
    <t>Ext Price</t>
  </si>
  <si>
    <t>Notes</t>
  </si>
  <si>
    <t>▼ CAPACITORS</t>
  </si>
  <si>
    <t>C1, C3, C5</t>
  </si>
  <si>
    <t>100nF</t>
  </si>
  <si>
    <t>Ceramic bypass capacitors</t>
  </si>
  <si>
    <t>Disc 5.0mm</t>
  </si>
  <si>
    <t>50V, X7R, ±10%</t>
  </si>
  <si>
    <t>Kemet</t>
  </si>
  <si>
    <t>C322C104K5R5TA7305</t>
  </si>
  <si>
    <t>80-C322C104K5R5TA</t>
  </si>
  <si>
    <t>Input/Output &amp; MAX31855 bypass</t>
  </si>
  <si>
    <t>C6, C7</t>
  </si>
  <si>
    <t>47µF 25V</t>
  </si>
  <si>
    <t>Aluminum electrolytic capacitors</t>
  </si>
  <si>
    <t>Radial D6.3mm P2.5mm</t>
  </si>
  <si>
    <t>25V, 105°C (C7=16V covered)</t>
  </si>
  <si>
    <t>Cornell Dubilier</t>
  </si>
  <si>
    <t>476CKH025M</t>
  </si>
  <si>
    <t>598-476CKH025M</t>
  </si>
  <si>
    <t>U3 input/output filtering</t>
  </si>
  <si>
    <t>▼ RESISTORS (All 1/4W, Through-Hole)</t>
  </si>
  <si>
    <t>R1,R3,R5,R7,R9,R11</t>
  </si>
  <si>
    <t>1kΩ</t>
  </si>
  <si>
    <t>Carbon film resistors 1/4W ±5%</t>
  </si>
  <si>
    <t>Axial 7.62mm</t>
  </si>
  <si>
    <t>1/4W, ±5%, 1kΩ</t>
  </si>
  <si>
    <t>YAGEO</t>
  </si>
  <si>
    <t>CFR-25JR-52-1K</t>
  </si>
  <si>
    <t>603-CFR-25JR-521K</t>
  </si>
  <si>
    <t>Current limit, base resistors</t>
  </si>
  <si>
    <t>R2,R8,R10,R12</t>
  </si>
  <si>
    <t>100kΩ</t>
  </si>
  <si>
    <t>1/4W, ±5%, 100kΩ</t>
  </si>
  <si>
    <t>CFR-25JB-52-100K</t>
  </si>
  <si>
    <t>603-CFR-25JB-52-100K</t>
  </si>
  <si>
    <t>MOSFET pull-down resistors</t>
  </si>
  <si>
    <t>R4, R14</t>
  </si>
  <si>
    <t>10kΩ</t>
  </si>
  <si>
    <t>1/4W, ±5%, 10kΩ</t>
  </si>
  <si>
    <t>CFR-25JB-52-10K</t>
  </si>
  <si>
    <t>603-CFR-25JB-52-10K</t>
  </si>
  <si>
    <t>Pull-up resistors</t>
  </si>
  <si>
    <t>R6, R15</t>
  </si>
  <si>
    <t>22kΩ</t>
  </si>
  <si>
    <t>1/4W, ±5%, 22kΩ</t>
  </si>
  <si>
    <t>CFR-25JB-52-22K</t>
  </si>
  <si>
    <t>603-CFR-25JB-52-22K</t>
  </si>
  <si>
    <t>Voltage divider resistors</t>
  </si>
  <si>
    <t>▼ DIODES</t>
  </si>
  <si>
    <t>D1, D4</t>
  </si>
  <si>
    <t>1N4001RLG</t>
  </si>
  <si>
    <t>Rectifier diodes 50V 1A</t>
  </si>
  <si>
    <t>DO-41 P10.16mm</t>
  </si>
  <si>
    <t>50V, 1A, DO-41</t>
  </si>
  <si>
    <t>onsemi</t>
  </si>
  <si>
    <t>863-1N4001RLG</t>
  </si>
  <si>
    <t>SSR protection diodes</t>
  </si>
  <si>
    <t>D2, D5</t>
  </si>
  <si>
    <t>1N4148</t>
  </si>
  <si>
    <t>Switching diodes 100V 150mA</t>
  </si>
  <si>
    <t>DO-35 P7.62mm</t>
  </si>
  <si>
    <t>100V, 150mA, DO-35</t>
  </si>
  <si>
    <t>512-1N4148</t>
  </si>
  <si>
    <t>Flyback protection diodes</t>
  </si>
  <si>
    <t>D3</t>
  </si>
  <si>
    <t>1N5819RLG</t>
  </si>
  <si>
    <t>Schottky diode 40V 1A</t>
  </si>
  <si>
    <t>40V, 1A Schottky</t>
  </si>
  <si>
    <t>863-1N5819RLG</t>
  </si>
  <si>
    <t>Reverse polarity protection</t>
  </si>
  <si>
    <t>▼ MICROCONTROLLER &amp; POWER MANAGEMENT</t>
  </si>
  <si>
    <t>U1</t>
  </si>
  <si>
    <t>ESP32-H2-DEVKITM-1-N4</t>
  </si>
  <si>
    <t>WiFi/BLE development module</t>
  </si>
  <si>
    <t>ESP32-H2 Module</t>
  </si>
  <si>
    <t>802.11n, BLE 5.2, 4MB Flash</t>
  </si>
  <si>
    <t>Espressif</t>
  </si>
  <si>
    <t>ESP32-H2-DevKitM-1-N4</t>
  </si>
  <si>
    <t>356-ESP32H2DKITM1-N4</t>
  </si>
  <si>
    <t>Main microcontroller</t>
  </si>
  <si>
    <t>U3</t>
  </si>
  <si>
    <t>R-78E5.0-1.0</t>
  </si>
  <si>
    <t>12V→5V 1A switching regulator</t>
  </si>
  <si>
    <t>SIP-3</t>
  </si>
  <si>
    <t>8-28V in, 5V 1A out, 95% eff</t>
  </si>
  <si>
    <t>RECOM</t>
  </si>
  <si>
    <t>919-R-78E5.0-1.0</t>
  </si>
  <si>
    <t>Buck converter (no heatsink needed)</t>
  </si>
  <si>
    <t>F1</t>
  </si>
  <si>
    <t>Polyfuse 2A</t>
  </si>
  <si>
    <t>Resettable fuse PTC 2A</t>
  </si>
  <si>
    <t>Radial</t>
  </si>
  <si>
    <t>2A hold, 4A trip</t>
  </si>
  <si>
    <t>Bel</t>
  </si>
  <si>
    <t>0ZRN0200FF1E</t>
  </si>
  <si>
    <t>530-0ZRN0200FF1E</t>
  </si>
  <si>
    <t>Overcurrent protection</t>
  </si>
  <si>
    <t>▼ POWER &amp; SIGNAL TRANSISTORS</t>
  </si>
  <si>
    <t>Q1, Q3</t>
  </si>
  <si>
    <t>IRLB3813PBF</t>
  </si>
  <si>
    <t>N-channel MOSFETs</t>
  </si>
  <si>
    <t>TO-220</t>
  </si>
  <si>
    <t>30V, 100A, 2.3mΩ Rds(on)</t>
  </si>
  <si>
    <t>Infineon</t>
  </si>
  <si>
    <t>942-IRLB3813PBF</t>
  </si>
  <si>
    <t>⚠️ Upgrade from IRLB8721 - Better!</t>
  </si>
  <si>
    <t>Q2, Q5</t>
  </si>
  <si>
    <t>2N3904BU</t>
  </si>
  <si>
    <t>NPN transistors</t>
  </si>
  <si>
    <t>TO-92</t>
  </si>
  <si>
    <t>40V, 200mA, hFE&gt;100</t>
  </si>
  <si>
    <t>512-2N3904BU</t>
  </si>
  <si>
    <t>MOSFET gate drivers</t>
  </si>
  <si>
    <t>▼ CONNECTORS &amp; TERMINALS</t>
  </si>
  <si>
    <t>12V_I/P, Sol1, Sol2, SSR1, SSR2</t>
  </si>
  <si>
    <t>Terminal 2-pos</t>
  </si>
  <si>
    <t>Phoenix terminal blocks 2-position</t>
  </si>
  <si>
    <t>Phoenix 5.08mm</t>
  </si>
  <si>
    <t>2-pos, 5.08mm, 90°, 12A</t>
  </si>
  <si>
    <t>Phoenix Contact</t>
  </si>
  <si>
    <t>1715721</t>
  </si>
  <si>
    <t>651-1715721</t>
  </si>
  <si>
    <t>Power input &amp; outputs</t>
  </si>
  <si>
    <t>PressureSensor1</t>
  </si>
  <si>
    <t>Terminal 3-pos</t>
  </si>
  <si>
    <t>Phoenix terminal block 3-position</t>
  </si>
  <si>
    <t>3-pos, 5.08mm, 90°, 12A</t>
  </si>
  <si>
    <t>1715734</t>
  </si>
  <si>
    <t>651-1715734</t>
  </si>
  <si>
    <t>Pressure sensor connection</t>
  </si>
  <si>
    <t>J2, J3</t>
  </si>
  <si>
    <t>Pin Headers</t>
  </si>
  <si>
    <t>Pin headers 2.54mm</t>
  </si>
  <si>
    <t>2.54mm vertical</t>
  </si>
  <si>
    <t>1x8 + 1x6, single row</t>
  </si>
  <si>
    <t>Amphenol ICC</t>
  </si>
  <si>
    <t>10129379-908001BLF</t>
  </si>
  <si>
    <t>649-1012937990801BLF</t>
  </si>
  <si>
    <t>I/O &amp; MAX31855 connectors</t>
  </si>
  <si>
    <t>▼ BREAKOUT MODULES</t>
  </si>
  <si>
    <t>MAX3155</t>
  </si>
  <si>
    <t>MAX31855</t>
  </si>
  <si>
    <t>Thermocouple amplifier breakout</t>
  </si>
  <si>
    <t>Adafruit #269</t>
  </si>
  <si>
    <t>K-type, -200°C to +700°C, SPI</t>
  </si>
  <si>
    <t>Adafruit</t>
  </si>
  <si>
    <t>269</t>
  </si>
  <si>
    <t>485-269</t>
  </si>
  <si>
    <t>Thermocouple interface module</t>
  </si>
  <si>
    <t>TOTAL COST:</t>
  </si>
  <si>
    <t>Bio-Char Control Board - Mouser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</si>
</sst>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2"/>
      <name val="Calibri"/>
    </font>
    <font>
      <b/>
      <sz val="12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F8F8F8"/>
        <bgColor rgb="FFF8F8F8"/>
      </patternFill>
    </fill>
    <fill>
      <patternFill patternType="solid">
        <fgColor rgb="FFE7E6E6"/>
        <bgColor rgb="FFE7E6E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 wrapText="1"/>
    </xf>
    <xf numFmtId="164" fontId="0" fillId="5" borderId="2" xfId="0" applyNumberForma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left" vertical="center"/>
    </xf>
    <xf numFmtId="0" fontId="0" fillId="0" borderId="3" xfId="0" applyBorder="1"/>
    <xf numFmtId="164" fontId="4" fillId="6" borderId="3" xfId="0" applyNumberFormat="1" applyFont="1" applyFill="1" applyBorder="1"/>
    <xf numFmtId="0" fontId="2" fillId="4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6" borderId="3" xfId="0" applyFont="1" applyFill="1" applyBorder="1" applyAlignment="1">
      <alignment horizontal="right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pane ySplit="2" topLeftCell="A3" activePane="bottomLeft" state="frozen"/>
      <selection pane="bottomLeft" activeCell="G7" sqref="G7"/>
    </sheetView>
  </sheetViews>
  <sheetFormatPr defaultRowHeight="14.5" x14ac:dyDescent="0.35"/>
  <cols>
    <col min="1" max="1" width="6" customWidth="1"/>
    <col min="2" max="2" width="5" customWidth="1"/>
    <col min="3" max="3" width="25" customWidth="1"/>
    <col min="4" max="4" width="15" customWidth="1"/>
    <col min="5" max="5" width="35" customWidth="1"/>
    <col min="6" max="6" width="20" customWidth="1"/>
    <col min="7" max="7" width="28" customWidth="1"/>
    <col min="8" max="8" width="18" customWidth="1"/>
    <col min="9" max="10" width="25" customWidth="1"/>
    <col min="11" max="12" width="10" customWidth="1"/>
    <col min="13" max="13" width="35" customWidth="1"/>
  </cols>
  <sheetData>
    <row r="1" spans="1:13" ht="25" customHeight="1" x14ac:dyDescent="0.35">
      <c r="A1" s="14" t="s">
        <v>162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40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22" customHeight="1" x14ac:dyDescent="0.35">
      <c r="A3" s="12" t="s">
        <v>13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x14ac:dyDescent="0.35">
      <c r="A4" s="2">
        <v>1</v>
      </c>
      <c r="B4" s="2">
        <v>3</v>
      </c>
      <c r="C4" s="3" t="s">
        <v>14</v>
      </c>
      <c r="D4" s="3" t="s">
        <v>15</v>
      </c>
      <c r="E4" s="4" t="s">
        <v>16</v>
      </c>
      <c r="F4" s="3" t="s">
        <v>17</v>
      </c>
      <c r="G4" s="4" t="s">
        <v>18</v>
      </c>
      <c r="H4" s="3" t="s">
        <v>19</v>
      </c>
      <c r="I4" s="3" t="s">
        <v>20</v>
      </c>
      <c r="J4" s="3" t="s">
        <v>21</v>
      </c>
      <c r="K4" s="5">
        <v>0.87</v>
      </c>
      <c r="L4" s="5">
        <f>B4*K4</f>
        <v>2.61</v>
      </c>
      <c r="M4" s="4" t="s">
        <v>22</v>
      </c>
    </row>
    <row r="5" spans="1:13" x14ac:dyDescent="0.35">
      <c r="A5" s="6">
        <v>2</v>
      </c>
      <c r="B5" s="6">
        <v>2</v>
      </c>
      <c r="C5" s="7" t="s">
        <v>23</v>
      </c>
      <c r="D5" s="7" t="s">
        <v>24</v>
      </c>
      <c r="E5" s="8" t="s">
        <v>25</v>
      </c>
      <c r="F5" s="7" t="s">
        <v>26</v>
      </c>
      <c r="G5" s="8" t="s">
        <v>27</v>
      </c>
      <c r="H5" s="7" t="s">
        <v>28</v>
      </c>
      <c r="I5" s="7" t="s">
        <v>29</v>
      </c>
      <c r="J5" s="7" t="s">
        <v>30</v>
      </c>
      <c r="K5" s="9">
        <v>0.21</v>
      </c>
      <c r="L5" s="9">
        <f>B5*K5</f>
        <v>0.42</v>
      </c>
      <c r="M5" s="8" t="s">
        <v>31</v>
      </c>
    </row>
    <row r="6" spans="1:13" ht="22" customHeight="1" x14ac:dyDescent="0.35">
      <c r="A6" s="12" t="s">
        <v>32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 x14ac:dyDescent="0.35">
      <c r="A7" s="6">
        <v>3</v>
      </c>
      <c r="B7" s="6">
        <v>6</v>
      </c>
      <c r="C7" s="7" t="s">
        <v>33</v>
      </c>
      <c r="D7" s="7" t="s">
        <v>34</v>
      </c>
      <c r="E7" s="8" t="s">
        <v>35</v>
      </c>
      <c r="F7" s="7" t="s">
        <v>36</v>
      </c>
      <c r="G7" s="8" t="s">
        <v>37</v>
      </c>
      <c r="H7" s="7" t="s">
        <v>38</v>
      </c>
      <c r="I7" s="7" t="s">
        <v>39</v>
      </c>
      <c r="J7" s="7" t="s">
        <v>40</v>
      </c>
      <c r="K7" s="9">
        <v>0.18</v>
      </c>
      <c r="L7" s="9">
        <f>B7*K7</f>
        <v>1.08</v>
      </c>
      <c r="M7" s="8" t="s">
        <v>41</v>
      </c>
    </row>
    <row r="8" spans="1:13" x14ac:dyDescent="0.35">
      <c r="A8" s="2">
        <v>4</v>
      </c>
      <c r="B8" s="2">
        <v>4</v>
      </c>
      <c r="C8" s="3" t="s">
        <v>42</v>
      </c>
      <c r="D8" s="3" t="s">
        <v>43</v>
      </c>
      <c r="E8" s="4" t="s">
        <v>35</v>
      </c>
      <c r="F8" s="3" t="s">
        <v>36</v>
      </c>
      <c r="G8" s="4" t="s">
        <v>44</v>
      </c>
      <c r="H8" s="3" t="s">
        <v>38</v>
      </c>
      <c r="I8" s="3" t="s">
        <v>45</v>
      </c>
      <c r="J8" s="3" t="s">
        <v>46</v>
      </c>
      <c r="K8" s="5">
        <v>0.18</v>
      </c>
      <c r="L8" s="5">
        <f>B8*K8</f>
        <v>0.72</v>
      </c>
      <c r="M8" s="4" t="s">
        <v>47</v>
      </c>
    </row>
    <row r="9" spans="1:13" x14ac:dyDescent="0.35">
      <c r="A9" s="6">
        <v>5</v>
      </c>
      <c r="B9" s="6">
        <v>2</v>
      </c>
      <c r="C9" s="7" t="s">
        <v>48</v>
      </c>
      <c r="D9" s="7" t="s">
        <v>49</v>
      </c>
      <c r="E9" s="8" t="s">
        <v>35</v>
      </c>
      <c r="F9" s="7" t="s">
        <v>36</v>
      </c>
      <c r="G9" s="8" t="s">
        <v>50</v>
      </c>
      <c r="H9" s="7" t="s">
        <v>38</v>
      </c>
      <c r="I9" s="7" t="s">
        <v>51</v>
      </c>
      <c r="J9" s="7" t="s">
        <v>52</v>
      </c>
      <c r="K9" s="9">
        <v>0.1</v>
      </c>
      <c r="L9" s="9">
        <f>B9*K9</f>
        <v>0.2</v>
      </c>
      <c r="M9" s="8" t="s">
        <v>53</v>
      </c>
    </row>
    <row r="10" spans="1:13" x14ac:dyDescent="0.35">
      <c r="A10" s="2">
        <v>6</v>
      </c>
      <c r="B10" s="2">
        <v>2</v>
      </c>
      <c r="C10" s="3" t="s">
        <v>54</v>
      </c>
      <c r="D10" s="3" t="s">
        <v>55</v>
      </c>
      <c r="E10" s="4" t="s">
        <v>35</v>
      </c>
      <c r="F10" s="3" t="s">
        <v>36</v>
      </c>
      <c r="G10" s="4" t="s">
        <v>56</v>
      </c>
      <c r="H10" s="3" t="s">
        <v>38</v>
      </c>
      <c r="I10" s="3" t="s">
        <v>57</v>
      </c>
      <c r="J10" s="3" t="s">
        <v>58</v>
      </c>
      <c r="K10" s="5">
        <v>0.1</v>
      </c>
      <c r="L10" s="5">
        <f>B10*K10</f>
        <v>0.2</v>
      </c>
      <c r="M10" s="4" t="s">
        <v>59</v>
      </c>
    </row>
    <row r="11" spans="1:13" ht="22" customHeight="1" x14ac:dyDescent="0.35">
      <c r="A11" s="12" t="s">
        <v>60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5">
      <c r="A12" s="2">
        <v>7</v>
      </c>
      <c r="B12" s="2">
        <v>2</v>
      </c>
      <c r="C12" s="3" t="s">
        <v>61</v>
      </c>
      <c r="D12" s="3" t="s">
        <v>62</v>
      </c>
      <c r="E12" s="4" t="s">
        <v>63</v>
      </c>
      <c r="F12" s="3" t="s">
        <v>64</v>
      </c>
      <c r="G12" s="4" t="s">
        <v>65</v>
      </c>
      <c r="H12" s="3" t="s">
        <v>66</v>
      </c>
      <c r="I12" s="3" t="s">
        <v>62</v>
      </c>
      <c r="J12" s="3" t="s">
        <v>67</v>
      </c>
      <c r="K12" s="5">
        <v>0.13</v>
      </c>
      <c r="L12" s="5">
        <f>B12*K12</f>
        <v>0.26</v>
      </c>
      <c r="M12" s="4" t="s">
        <v>68</v>
      </c>
    </row>
    <row r="13" spans="1:13" x14ac:dyDescent="0.35">
      <c r="A13" s="6">
        <v>8</v>
      </c>
      <c r="B13" s="6">
        <v>2</v>
      </c>
      <c r="C13" s="7" t="s">
        <v>69</v>
      </c>
      <c r="D13" s="7" t="s">
        <v>70</v>
      </c>
      <c r="E13" s="8" t="s">
        <v>71</v>
      </c>
      <c r="F13" s="7" t="s">
        <v>72</v>
      </c>
      <c r="G13" s="8" t="s">
        <v>73</v>
      </c>
      <c r="H13" s="7" t="s">
        <v>66</v>
      </c>
      <c r="I13" s="7" t="s">
        <v>70</v>
      </c>
      <c r="J13" s="7" t="s">
        <v>74</v>
      </c>
      <c r="K13" s="9">
        <v>0.1</v>
      </c>
      <c r="L13" s="9">
        <f>B13*K13</f>
        <v>0.2</v>
      </c>
      <c r="M13" s="8" t="s">
        <v>75</v>
      </c>
    </row>
    <row r="14" spans="1:13" x14ac:dyDescent="0.35">
      <c r="A14" s="2">
        <v>9</v>
      </c>
      <c r="B14" s="2">
        <v>1</v>
      </c>
      <c r="C14" s="3" t="s">
        <v>76</v>
      </c>
      <c r="D14" s="3" t="s">
        <v>77</v>
      </c>
      <c r="E14" s="4" t="s">
        <v>78</v>
      </c>
      <c r="F14" s="3" t="s">
        <v>64</v>
      </c>
      <c r="G14" s="4" t="s">
        <v>79</v>
      </c>
      <c r="H14" s="3" t="s">
        <v>66</v>
      </c>
      <c r="I14" s="3" t="s">
        <v>77</v>
      </c>
      <c r="J14" s="3" t="s">
        <v>80</v>
      </c>
      <c r="K14" s="5">
        <v>0.39</v>
      </c>
      <c r="L14" s="5">
        <f>B14*K14</f>
        <v>0.39</v>
      </c>
      <c r="M14" s="4" t="s">
        <v>81</v>
      </c>
    </row>
    <row r="15" spans="1:13" ht="22" customHeight="1" x14ac:dyDescent="0.35">
      <c r="A15" s="12" t="s">
        <v>82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 x14ac:dyDescent="0.35">
      <c r="A16" s="2">
        <v>10</v>
      </c>
      <c r="B16" s="2">
        <v>1</v>
      </c>
      <c r="C16" s="3" t="s">
        <v>83</v>
      </c>
      <c r="D16" s="3" t="s">
        <v>84</v>
      </c>
      <c r="E16" s="4" t="s">
        <v>85</v>
      </c>
      <c r="F16" s="3" t="s">
        <v>86</v>
      </c>
      <c r="G16" s="4" t="s">
        <v>87</v>
      </c>
      <c r="H16" s="3" t="s">
        <v>88</v>
      </c>
      <c r="I16" s="3" t="s">
        <v>89</v>
      </c>
      <c r="J16" s="3" t="s">
        <v>90</v>
      </c>
      <c r="K16" s="5">
        <v>9.3800000000000008</v>
      </c>
      <c r="L16" s="5">
        <f>B16*K16</f>
        <v>9.3800000000000008</v>
      </c>
      <c r="M16" s="4" t="s">
        <v>91</v>
      </c>
    </row>
    <row r="17" spans="1:13" x14ac:dyDescent="0.35">
      <c r="A17" s="6">
        <v>11</v>
      </c>
      <c r="B17" s="6">
        <v>1</v>
      </c>
      <c r="C17" s="7" t="s">
        <v>92</v>
      </c>
      <c r="D17" s="7" t="s">
        <v>93</v>
      </c>
      <c r="E17" s="8" t="s">
        <v>94</v>
      </c>
      <c r="F17" s="7" t="s">
        <v>95</v>
      </c>
      <c r="G17" s="8" t="s">
        <v>96</v>
      </c>
      <c r="H17" s="7" t="s">
        <v>97</v>
      </c>
      <c r="I17" s="7" t="s">
        <v>93</v>
      </c>
      <c r="J17" s="7" t="s">
        <v>98</v>
      </c>
      <c r="K17" s="9">
        <v>3.97</v>
      </c>
      <c r="L17" s="9">
        <f>B17*K17</f>
        <v>3.97</v>
      </c>
      <c r="M17" s="8" t="s">
        <v>99</v>
      </c>
    </row>
    <row r="18" spans="1:13" x14ac:dyDescent="0.35">
      <c r="A18" s="2">
        <v>12</v>
      </c>
      <c r="B18" s="2">
        <v>1</v>
      </c>
      <c r="C18" s="3" t="s">
        <v>100</v>
      </c>
      <c r="D18" s="3" t="s">
        <v>101</v>
      </c>
      <c r="E18" s="4" t="s">
        <v>102</v>
      </c>
      <c r="F18" s="3" t="s">
        <v>103</v>
      </c>
      <c r="G18" s="4" t="s">
        <v>104</v>
      </c>
      <c r="H18" s="3" t="s">
        <v>105</v>
      </c>
      <c r="I18" s="3" t="s">
        <v>106</v>
      </c>
      <c r="J18" s="3" t="s">
        <v>107</v>
      </c>
      <c r="K18" s="5">
        <v>0.42</v>
      </c>
      <c r="L18" s="5">
        <f>B18*K18</f>
        <v>0.42</v>
      </c>
      <c r="M18" s="4" t="s">
        <v>108</v>
      </c>
    </row>
    <row r="19" spans="1:13" ht="22" customHeight="1" x14ac:dyDescent="0.35">
      <c r="A19" s="12" t="s">
        <v>109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1:13" x14ac:dyDescent="0.35">
      <c r="A20" s="2">
        <v>13</v>
      </c>
      <c r="B20" s="2">
        <v>2</v>
      </c>
      <c r="C20" s="3" t="s">
        <v>110</v>
      </c>
      <c r="D20" s="3" t="s">
        <v>111</v>
      </c>
      <c r="E20" s="4" t="s">
        <v>112</v>
      </c>
      <c r="F20" s="3" t="s">
        <v>113</v>
      </c>
      <c r="G20" s="4" t="s">
        <v>114</v>
      </c>
      <c r="H20" s="3" t="s">
        <v>115</v>
      </c>
      <c r="I20" s="3" t="s">
        <v>111</v>
      </c>
      <c r="J20" s="3" t="s">
        <v>116</v>
      </c>
      <c r="K20" s="5">
        <v>2.16</v>
      </c>
      <c r="L20" s="5">
        <f>B20*K20</f>
        <v>4.32</v>
      </c>
      <c r="M20" s="4" t="s">
        <v>117</v>
      </c>
    </row>
    <row r="21" spans="1:13" x14ac:dyDescent="0.35">
      <c r="A21" s="6">
        <v>14</v>
      </c>
      <c r="B21" s="6">
        <v>2</v>
      </c>
      <c r="C21" s="7" t="s">
        <v>118</v>
      </c>
      <c r="D21" s="7" t="s">
        <v>119</v>
      </c>
      <c r="E21" s="8" t="s">
        <v>120</v>
      </c>
      <c r="F21" s="7" t="s">
        <v>121</v>
      </c>
      <c r="G21" s="8" t="s">
        <v>122</v>
      </c>
      <c r="H21" s="7" t="s">
        <v>66</v>
      </c>
      <c r="I21" s="7" t="s">
        <v>119</v>
      </c>
      <c r="J21" s="7" t="s">
        <v>123</v>
      </c>
      <c r="K21" s="9">
        <v>0.28000000000000003</v>
      </c>
      <c r="L21" s="9">
        <f>B21*K21</f>
        <v>0.56000000000000005</v>
      </c>
      <c r="M21" s="8" t="s">
        <v>124</v>
      </c>
    </row>
    <row r="22" spans="1:13" ht="22" customHeight="1" x14ac:dyDescent="0.35">
      <c r="A22" s="12" t="s">
        <v>125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x14ac:dyDescent="0.35">
      <c r="A23" s="6">
        <v>15</v>
      </c>
      <c r="B23" s="6">
        <v>5</v>
      </c>
      <c r="C23" s="7" t="s">
        <v>126</v>
      </c>
      <c r="D23" s="7" t="s">
        <v>127</v>
      </c>
      <c r="E23" s="8" t="s">
        <v>128</v>
      </c>
      <c r="F23" s="7" t="s">
        <v>129</v>
      </c>
      <c r="G23" s="8" t="s">
        <v>130</v>
      </c>
      <c r="H23" s="7" t="s">
        <v>131</v>
      </c>
      <c r="I23" s="7" t="s">
        <v>132</v>
      </c>
      <c r="J23" s="7" t="s">
        <v>133</v>
      </c>
      <c r="K23" s="9">
        <v>1.3</v>
      </c>
      <c r="L23" s="9">
        <f>B23*K23</f>
        <v>6.5</v>
      </c>
      <c r="M23" s="8" t="s">
        <v>134</v>
      </c>
    </row>
    <row r="24" spans="1:13" x14ac:dyDescent="0.35">
      <c r="A24" s="2">
        <v>16</v>
      </c>
      <c r="B24" s="2">
        <v>1</v>
      </c>
      <c r="C24" s="3" t="s">
        <v>135</v>
      </c>
      <c r="D24" s="3" t="s">
        <v>136</v>
      </c>
      <c r="E24" s="4" t="s">
        <v>137</v>
      </c>
      <c r="F24" s="3" t="s">
        <v>129</v>
      </c>
      <c r="G24" s="4" t="s">
        <v>138</v>
      </c>
      <c r="H24" s="3" t="s">
        <v>131</v>
      </c>
      <c r="I24" s="3" t="s">
        <v>139</v>
      </c>
      <c r="J24" s="3" t="s">
        <v>140</v>
      </c>
      <c r="K24" s="5">
        <v>1.66</v>
      </c>
      <c r="L24" s="5">
        <f>B24*K24</f>
        <v>1.66</v>
      </c>
      <c r="M24" s="4" t="s">
        <v>141</v>
      </c>
    </row>
    <row r="25" spans="1:13" x14ac:dyDescent="0.35">
      <c r="A25" s="6">
        <v>17</v>
      </c>
      <c r="B25" s="6">
        <v>2</v>
      </c>
      <c r="C25" s="7" t="s">
        <v>142</v>
      </c>
      <c r="D25" s="7" t="s">
        <v>143</v>
      </c>
      <c r="E25" s="8" t="s">
        <v>144</v>
      </c>
      <c r="F25" s="7" t="s">
        <v>145</v>
      </c>
      <c r="G25" s="8" t="s">
        <v>146</v>
      </c>
      <c r="H25" s="7" t="s">
        <v>147</v>
      </c>
      <c r="I25" s="7" t="s">
        <v>148</v>
      </c>
      <c r="J25" s="7" t="s">
        <v>149</v>
      </c>
      <c r="K25" s="9">
        <v>0.14000000000000001</v>
      </c>
      <c r="L25" s="9">
        <f>B25*K25</f>
        <v>0.28000000000000003</v>
      </c>
      <c r="M25" s="8" t="s">
        <v>150</v>
      </c>
    </row>
    <row r="26" spans="1:13" ht="22" customHeight="1" x14ac:dyDescent="0.35">
      <c r="A26" s="12" t="s">
        <v>151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 x14ac:dyDescent="0.35">
      <c r="A27" s="6">
        <v>18</v>
      </c>
      <c r="B27" s="6">
        <v>1</v>
      </c>
      <c r="C27" s="7" t="s">
        <v>152</v>
      </c>
      <c r="D27" s="7" t="s">
        <v>153</v>
      </c>
      <c r="E27" s="8" t="s">
        <v>154</v>
      </c>
      <c r="F27" s="7" t="s">
        <v>155</v>
      </c>
      <c r="G27" s="8" t="s">
        <v>156</v>
      </c>
      <c r="H27" s="7" t="s">
        <v>157</v>
      </c>
      <c r="I27" s="7" t="s">
        <v>158</v>
      </c>
      <c r="J27" s="7" t="s">
        <v>159</v>
      </c>
      <c r="K27" s="9">
        <v>14.95</v>
      </c>
      <c r="L27" s="9">
        <f>B27*K27</f>
        <v>14.95</v>
      </c>
      <c r="M27" s="8" t="s">
        <v>160</v>
      </c>
    </row>
    <row r="29" spans="1:13" ht="15.5" x14ac:dyDescent="0.35">
      <c r="A29" s="15" t="s">
        <v>161</v>
      </c>
      <c r="B29" s="16"/>
      <c r="C29" s="16"/>
      <c r="D29" s="16"/>
      <c r="E29" s="16"/>
      <c r="F29" s="16"/>
      <c r="G29" s="16"/>
      <c r="H29" s="16"/>
      <c r="I29" s="16"/>
      <c r="J29" s="16"/>
      <c r="K29" s="11">
        <f>SUMPRODUCT(B3:B27,K3:K27)</f>
        <v>48.120000000000005</v>
      </c>
      <c r="L29" s="11">
        <f>SUM(L3:L27)</f>
        <v>48.120000000000005</v>
      </c>
      <c r="M29" s="10"/>
    </row>
  </sheetData>
  <mergeCells count="9">
    <mergeCell ref="A26:M26"/>
    <mergeCell ref="A29:J29"/>
    <mergeCell ref="A15:M15"/>
    <mergeCell ref="A11:M11"/>
    <mergeCell ref="A19:M19"/>
    <mergeCell ref="A1:M1"/>
    <mergeCell ref="A6:M6"/>
    <mergeCell ref="A22:M22"/>
    <mergeCell ref="A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Mouser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hardhik pvv</cp:lastModifiedBy>
  <dcterms:created xsi:type="dcterms:W3CDTF">2026-03-18T21:15:46Z</dcterms:created>
  <dcterms:modified xsi:type="dcterms:W3CDTF">2026-03-18T21:17:09Z</dcterms:modified>
</cp:coreProperties>
</file>